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log" sheetId="1" r:id="rId5"/>
  </sheets>
  <definedNames/>
  <calcPr/>
</workbook>
</file>

<file path=xl/sharedStrings.xml><?xml version="1.0" encoding="utf-8"?>
<sst xmlns="http://schemas.openxmlformats.org/spreadsheetml/2006/main" count="130" uniqueCount="56">
  <si>
    <t>WorkLog - EventQR</t>
  </si>
  <si>
    <t>TỔNG SỐ TÁC VỤ</t>
  </si>
  <si>
    <t>TỔNG GIỜ LÀM</t>
  </si>
  <si>
    <t>TỶ LỆ HOÀN THÀNH</t>
  </si>
  <si>
    <t>GIỜ TB / NGƯỜI</t>
  </si>
  <si>
    <t>Nhân sự</t>
  </si>
  <si>
    <t>Số tác vụ</t>
  </si>
  <si>
    <t>Hoàn thành</t>
  </si>
  <si>
    <t>Đang xử lý</t>
  </si>
  <si>
    <t>Tỷ lệ HT</t>
  </si>
  <si>
    <t>Tổng số giờ</t>
  </si>
  <si>
    <t>Giờ TB/Tác vụ</t>
  </si>
  <si>
    <t>Đặng Duy Quang</t>
  </si>
  <si>
    <t>Trương Hoàng Long</t>
  </si>
  <si>
    <t>Tuần</t>
  </si>
  <si>
    <t>Ngày</t>
  </si>
  <si>
    <t>Chi tiết công việc</t>
  </si>
  <si>
    <t>Số giờ</t>
  </si>
  <si>
    <t>Trạng thái</t>
  </si>
  <si>
    <t>Ghi chú</t>
  </si>
  <si>
    <t>Link file dẫn chứng</t>
  </si>
  <si>
    <t>Tuần 1</t>
  </si>
  <si>
    <t>Thiết kế kiến trúc</t>
  </si>
  <si>
    <t>Vẽ sơ đồ</t>
  </si>
  <si>
    <t>Tạo Repo Github + Add Collab thành viên còn lại</t>
  </si>
  <si>
    <t>https://github.com/quangbru376-blip/eventqr</t>
  </si>
  <si>
    <t>Được Add vào Github</t>
  </si>
  <si>
    <t>Tạo bảng DynamoDB eventqr-events và eventqr-tickets</t>
  </si>
  <si>
    <t>Tạo secret eventqr-hmac-key trong Secrets Manager</t>
  </si>
  <si>
    <t>Tạo Lambda eventqr-test-secret, dùng LabRole và biến môi trường SECRET_NAME</t>
  </si>
  <si>
    <t>Tạo Lambda eventqr-test-checkin, cấu hình TICKETS_TABLE</t>
  </si>
  <si>
    <t>Thử tạo vé, check-in lần đầu và check-in lại</t>
  </si>
  <si>
    <t>Lần đầu trả thành công ( mã 200); lần hai trả bị từ chối (mã 409) do điều kiện cập nhật không thỏa</t>
  </si>
  <si>
    <t>Thảo luận và thống nhất đặc tả register, checkin, stats</t>
  </si>
  <si>
    <t>Lưu mã Lambda và mã HMAC vào repo, push lên GitHub</t>
  </si>
  <si>
    <t>Đã push mã các bài thử; bạn cũng xác nhận đã push kết quả kiểm thử</t>
  </si>
  <si>
    <t>Viết hàm ký và xác minh HMAC cùng mã kiểm thử cục bộ</t>
  </si>
  <si>
    <t>7/7 trường hợp PASS: vé hợp lệ, sửa eventId, sửa ticketId, sửa chữ ký, sai khóa, sai định dạng, sai version</t>
  </si>
  <si>
    <t>Xây dựng bản dự thảo api.md với AI hỗ trợ</t>
  </si>
  <si>
    <t>Cấu hình bucket eventqr-qr private, kiểm tra Block public access và gắn tag Project/Owner</t>
  </si>
  <si>
    <t>0.5 h</t>
  </si>
  <si>
    <t>Bucket QR private; đã gắn tags Project/Owner.</t>
  </si>
  <si>
    <t>Cấu hình bucket eventqr-web private, kiểm tra Block public access và gắn tag Project/Owner</t>
  </si>
  <si>
    <t>Kiểm tra topic SNS eventqr-ticket-delivery và tags Project/Owner</t>
  </si>
  <si>
    <t>Đã kiểm tra topic SNS và tags.</t>
  </si>
  <si>
    <t>Cấu hình filter email cho hai subscription SNS; gửi và kiểm tra hai thông điệp email thử</t>
  </si>
  <si>
    <t>Hai email đã nhận thông điệp thử; có ảnh filter và Message ID.</t>
  </si>
  <si>
    <t>Triển khai và kiểm thử Lambda eventqr-web trả trang HTML từ S3 private</t>
  </si>
  <si>
    <t>Lambda test thành công, trả HTTP 200 và HTML.</t>
  </si>
  <si>
    <t>Tích hợp API Gateway với Lambda phục vụ web HTTPS; kiểm thử bật camera trên máy tính</t>
  </si>
  <si>
    <t>Trang HTTPS mở được, camera hoạt động trên máy tính.</t>
  </si>
  <si>
    <t>Kiểm tra log WEB_PAGE_SERVED, gắn tags CloudWatch; chọn retention 7 ngày</t>
  </si>
  <si>
    <t>Đã có log WEB_PAGE_SERVED và tags; cần xác nhận đã lưu retention 7 ngày.</t>
  </si>
  <si>
    <t>Tạo presigned URL S3 thời hạn 6 giờ; kiểm thử và lưu kết quả HTTP 200</t>
  </si>
  <si>
    <t>Đang làm</t>
  </si>
  <si>
    <t>Viết báo cáo tuần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</si>
</sst>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 &quot;h&quot;"/>
    <numFmt numFmtId="165" formatCode="0.0%"/>
    <numFmt numFmtId="166" formatCode="yyyy-mm-dd"/>
    <numFmt numFmtId="167" formatCode="0.0 &quot;h&quot;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rgb="FF1A2B4B"/>
      <name val="Google Sans"/>
    </font>
    <font/>
    <font>
      <b/>
      <sz val="9.0"/>
      <color rgb="FF435E91"/>
      <name val="Google Sans"/>
    </font>
    <font>
      <b/>
      <sz val="16.0"/>
      <color rgb="FF1A2B4B"/>
      <name val="Google Sans"/>
    </font>
    <font>
      <b/>
      <sz val="9.0"/>
      <color rgb="FFFFFFFF"/>
      <name val="Google Sans"/>
    </font>
    <font>
      <b/>
      <sz val="10.0"/>
      <color rgb="FF1A1B1F"/>
      <name val="Google Sans"/>
    </font>
    <font>
      <sz val="10.0"/>
      <color rgb="FF1A1B1F"/>
      <name val="Google Sans"/>
    </font>
    <font>
      <b/>
      <sz val="10.0"/>
      <color rgb="FFFFFFFF"/>
      <name val="Google Sans"/>
    </font>
    <font>
      <u/>
      <sz val="10.0"/>
      <color rgb="FF1A1B1F"/>
      <name val="Google Sans"/>
    </font>
    <font>
      <color rgb="FF1A1B1F"/>
      <name val="&quot;Google Sans&quot;"/>
    </font>
    <font>
      <sz val="10.0"/>
      <color rgb="FF1A1B1F"/>
      <name val="&quot;Google Sans&quot;"/>
    </font>
  </fonts>
  <fills count="8">
    <fill>
      <patternFill patternType="none"/>
    </fill>
    <fill>
      <patternFill patternType="lightGray"/>
    </fill>
    <fill>
      <patternFill patternType="solid">
        <fgColor rgb="FFEBF0FB"/>
        <bgColor rgb="FFEBF0FB"/>
      </patternFill>
    </fill>
    <fill>
      <patternFill patternType="solid">
        <fgColor rgb="FFEDF1F8"/>
        <bgColor rgb="FFEDF1F8"/>
      </patternFill>
    </fill>
    <fill>
      <patternFill patternType="solid">
        <fgColor rgb="FFF8F9FF"/>
        <bgColor rgb="FFF8F9FF"/>
      </patternFill>
    </fill>
    <fill>
      <patternFill patternType="solid">
        <fgColor rgb="FF435E91"/>
        <bgColor rgb="FF435E91"/>
      </patternFill>
    </fill>
    <fill>
      <patternFill patternType="solid">
        <fgColor rgb="FFFFFFFF"/>
        <bgColor rgb="FFFFFFFF"/>
      </patternFill>
    </fill>
    <fill>
      <patternFill patternType="solid">
        <fgColor rgb="FFF6F8FC"/>
        <bgColor rgb="FFF6F8FC"/>
      </patternFill>
    </fill>
  </fills>
  <borders count="12">
    <border/>
    <border>
      <bottom style="medium">
        <color rgb="FF435E91"/>
      </bottom>
    </border>
    <border>
      <left style="thin">
        <color rgb="FFC5D3EB"/>
      </left>
      <top style="thin">
        <color rgb="FFC5D3EB"/>
      </top>
      <bottom style="thin">
        <color rgb="FFD8E0ED"/>
      </bottom>
    </border>
    <border>
      <right style="thin">
        <color rgb="FFC5D3EB"/>
      </right>
      <top style="thin">
        <color rgb="FFC5D3EB"/>
      </top>
      <bottom style="thin">
        <color rgb="FFD8E0ED"/>
      </bottom>
    </border>
    <border>
      <left style="thin">
        <color rgb="FFC5D3EB"/>
      </left>
      <right style="thin">
        <color rgb="FFC5D3EB"/>
      </right>
      <top style="thin">
        <color rgb="FFC5D3EB"/>
      </top>
      <bottom style="thin">
        <color rgb="FFD8E0ED"/>
      </bottom>
    </border>
    <border>
      <left style="thin">
        <color rgb="FFC5D3EB"/>
      </left>
      <bottom style="thin">
        <color rgb="FFC5D3EB"/>
      </bottom>
    </border>
    <border>
      <right style="thin">
        <color rgb="FFC5D3EB"/>
      </right>
      <bottom style="thin">
        <color rgb="FFC5D3EB"/>
      </bottom>
    </border>
    <border>
      <left style="thin">
        <color rgb="FFC5D3EB"/>
      </left>
      <right style="thin">
        <color rgb="FFC5D3EB"/>
      </right>
      <bottom style="thin">
        <color rgb="FFC5D3EB"/>
      </bottom>
    </border>
    <border>
      <left style="thin">
        <color rgb="FFC5D3EB"/>
      </left>
      <right style="thin">
        <color rgb="FFC5D3EB"/>
      </right>
      <top style="thin">
        <color rgb="FFC5D3EB"/>
      </top>
      <bottom style="thin">
        <color rgb="FFC5D3E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1" fillId="0" fontId="3" numFmtId="0" xfId="0" applyBorder="1" applyFont="1"/>
    <xf borderId="2" fillId="3" fontId="4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vertical="center"/>
    </xf>
    <xf borderId="5" fillId="4" fontId="5" numFmtId="3" xfId="0" applyAlignment="1" applyBorder="1" applyFill="1" applyFont="1" applyNumberFormat="1">
      <alignment horizontal="center" vertical="center"/>
    </xf>
    <xf borderId="6" fillId="0" fontId="3" numFmtId="0" xfId="0" applyBorder="1" applyFont="1"/>
    <xf borderId="7" fillId="4" fontId="5" numFmtId="164" xfId="0" applyAlignment="1" applyBorder="1" applyFill="1" applyFont="1" applyNumberFormat="1">
      <alignment horizontal="center" vertical="center"/>
    </xf>
    <xf borderId="5" fillId="4" fontId="5" numFmtId="165" xfId="0" applyAlignment="1" applyBorder="1" applyFill="1" applyFont="1" applyNumberFormat="1">
      <alignment horizontal="center" vertical="center"/>
    </xf>
    <xf borderId="5" fillId="4" fontId="5" numFmtId="164" xfId="0" applyAlignment="1" applyBorder="1" applyFill="1" applyFont="1" applyNumberFormat="1">
      <alignment horizontal="center" vertical="center"/>
    </xf>
    <xf borderId="8" fillId="5" fontId="6" numFmtId="0" xfId="0" applyAlignment="1" applyBorder="1" applyFill="1" applyFont="1">
      <alignment horizontal="left" readingOrder="0" vertical="center"/>
    </xf>
    <xf borderId="8" fillId="5" fontId="6" numFmtId="0" xfId="0" applyAlignment="1" applyBorder="1" applyFill="1" applyFont="1">
      <alignment horizontal="center" readingOrder="0" vertical="center"/>
    </xf>
    <xf borderId="8" fillId="6" fontId="7" numFmtId="0" xfId="0" applyAlignment="1" applyBorder="1" applyFill="1" applyFont="1">
      <alignment horizontal="left" readingOrder="0" vertical="center"/>
    </xf>
    <xf borderId="8" fillId="6" fontId="8" numFmtId="3" xfId="0" applyAlignment="1" applyBorder="1" applyFill="1" applyFont="1" applyNumberFormat="1">
      <alignment horizontal="right" vertical="center"/>
    </xf>
    <xf borderId="8" fillId="6" fontId="8" numFmtId="165" xfId="0" applyAlignment="1" applyBorder="1" applyFill="1" applyFont="1" applyNumberFormat="1">
      <alignment horizontal="right" vertical="center"/>
    </xf>
    <xf borderId="8" fillId="6" fontId="8" numFmtId="164" xfId="0" applyAlignment="1" applyBorder="1" applyFill="1" applyFont="1" applyNumberFormat="1">
      <alignment horizontal="right" vertical="center"/>
    </xf>
    <xf borderId="8" fillId="7" fontId="7" numFmtId="0" xfId="0" applyAlignment="1" applyBorder="1" applyFill="1" applyFont="1">
      <alignment horizontal="left" readingOrder="0" vertical="center"/>
    </xf>
    <xf borderId="8" fillId="7" fontId="8" numFmtId="3" xfId="0" applyAlignment="1" applyBorder="1" applyFill="1" applyFont="1" applyNumberFormat="1">
      <alignment horizontal="right" vertical="center"/>
    </xf>
    <xf borderId="8" fillId="7" fontId="8" numFmtId="165" xfId="0" applyAlignment="1" applyBorder="1" applyFill="1" applyFont="1" applyNumberFormat="1">
      <alignment horizontal="right" vertical="center"/>
    </xf>
    <xf borderId="8" fillId="7" fontId="8" numFmtId="164" xfId="0" applyAlignment="1" applyBorder="1" applyFill="1" applyFont="1" applyNumberFormat="1">
      <alignment horizontal="right" vertical="center"/>
    </xf>
    <xf borderId="9" fillId="5" fontId="9" numFmtId="0" xfId="0" applyAlignment="1" applyBorder="1" applyFill="1" applyFont="1">
      <alignment horizontal="center" readingOrder="0" vertical="center"/>
    </xf>
    <xf borderId="9" fillId="5" fontId="9" numFmtId="0" xfId="0" applyAlignment="1" applyBorder="1" applyFill="1" applyFont="1">
      <alignment horizontal="left" readingOrder="0" vertical="center"/>
    </xf>
    <xf borderId="9" fillId="5" fontId="9" numFmtId="0" xfId="0" applyAlignment="1" applyBorder="1" applyFill="1" applyFont="1">
      <alignment horizontal="right" readingOrder="0" vertical="center"/>
    </xf>
    <xf borderId="9" fillId="5" fontId="9" numFmtId="0" xfId="0" applyAlignment="1" applyBorder="1" applyFill="1" applyFont="1">
      <alignment horizontal="center" readingOrder="0" vertical="center"/>
    </xf>
    <xf borderId="9" fillId="5" fontId="9" numFmtId="0" xfId="0" applyAlignment="1" applyBorder="1" applyFill="1" applyFont="1">
      <alignment horizontal="left" vertical="center"/>
    </xf>
    <xf borderId="9" fillId="7" fontId="8" numFmtId="0" xfId="0" applyAlignment="1" applyBorder="1" applyFill="1" applyFont="1">
      <alignment horizontal="center" readingOrder="0" vertical="center"/>
    </xf>
    <xf borderId="9" fillId="7" fontId="8" numFmtId="166" xfId="0" applyAlignment="1" applyBorder="1" applyFill="1" applyFont="1" applyNumberFormat="1">
      <alignment horizontal="center" readingOrder="0" vertical="center"/>
    </xf>
    <xf borderId="9" fillId="7" fontId="8" numFmtId="0" xfId="0" applyAlignment="1" applyBorder="1" applyFill="1" applyFont="1">
      <alignment horizontal="center" readingOrder="0" shrinkToFit="0" vertical="center" wrapText="1"/>
    </xf>
    <xf borderId="9" fillId="7" fontId="8" numFmtId="0" xfId="0" applyAlignment="1" applyBorder="1" applyFill="1" applyFont="1">
      <alignment horizontal="left" readingOrder="0" shrinkToFit="0" vertical="center" wrapText="1"/>
    </xf>
    <xf borderId="9" fillId="7" fontId="8" numFmtId="167" xfId="0" applyAlignment="1" applyBorder="1" applyFill="1" applyFont="1" applyNumberFormat="1">
      <alignment horizontal="right" readingOrder="0" vertical="center"/>
    </xf>
    <xf borderId="10" fillId="7" fontId="10" numFmtId="0" xfId="0" applyAlignment="1" applyBorder="1" applyFill="1" applyFont="1">
      <alignment horizontal="left" readingOrder="0" shrinkToFit="0" vertical="center" wrapText="1"/>
    </xf>
    <xf borderId="10" fillId="7" fontId="8" numFmtId="0" xfId="0" applyAlignment="1" applyBorder="1" applyFill="1" applyFont="1">
      <alignment horizontal="left" readingOrder="0" shrinkToFit="0" vertical="center" wrapText="1"/>
    </xf>
    <xf borderId="11" fillId="0" fontId="3" numFmtId="0" xfId="0" applyBorder="1" applyFont="1"/>
    <xf borderId="9" fillId="7" fontId="8" numFmtId="0" xfId="0" applyAlignment="1" applyBorder="1" applyFill="1" applyFont="1">
      <alignment horizontal="left" shrinkToFit="0" vertical="center" wrapText="1"/>
    </xf>
    <xf borderId="9" fillId="7" fontId="1" numFmtId="0" xfId="0" applyAlignment="1" applyBorder="1" applyFill="1" applyFont="1">
      <alignment readingOrder="0" vertical="center"/>
    </xf>
    <xf borderId="9" fillId="7" fontId="1" numFmtId="0" xfId="0" applyBorder="1" applyFill="1" applyFont="1"/>
    <xf borderId="10" fillId="7" fontId="8" numFmtId="0" xfId="0" applyAlignment="1" applyBorder="1" applyFill="1" applyFont="1">
      <alignment horizontal="left" shrinkToFit="0" vertical="center" wrapText="1"/>
    </xf>
    <xf borderId="11" fillId="6" fontId="3" numFmtId="0" xfId="0" applyBorder="1" applyFill="1" applyFont="1"/>
    <xf borderId="9" fillId="7" fontId="11" numFmtId="166" xfId="0" applyAlignment="1" applyBorder="1" applyFill="1" applyFont="1" applyNumberFormat="1">
      <alignment horizontal="center" readingOrder="0" shrinkToFit="0" vertical="center" wrapText="0"/>
    </xf>
    <xf borderId="9" fillId="7" fontId="11" numFmtId="0" xfId="0" applyAlignment="1" applyBorder="1" applyFill="1" applyFont="1">
      <alignment horizontal="left" readingOrder="0" shrinkToFit="0" vertical="center" wrapText="1"/>
    </xf>
    <xf borderId="9" fillId="7" fontId="11" numFmtId="0" xfId="0" applyAlignment="1" applyBorder="1" applyFill="1" applyFont="1">
      <alignment horizontal="center" readingOrder="0" shrinkToFit="0" vertical="center" wrapText="0"/>
    </xf>
    <xf borderId="9" fillId="7" fontId="11" numFmtId="0" xfId="0" applyAlignment="1" applyBorder="1" applyFill="1" applyFont="1">
      <alignment horizontal="center" readingOrder="0" vertical="center"/>
    </xf>
    <xf borderId="9" fillId="7" fontId="11" numFmtId="167" xfId="0" applyAlignment="1" applyBorder="1" applyFill="1" applyFont="1" applyNumberFormat="1">
      <alignment horizontal="right" readingOrder="0" shrinkToFit="0" vertical="center" wrapText="1"/>
    </xf>
    <xf borderId="9" fillId="7" fontId="11" numFmtId="0" xfId="0" applyAlignment="1" applyBorder="1" applyFill="1" applyFont="1">
      <alignment horizontal="center" readingOrder="0" shrinkToFit="0" vertical="center" wrapText="1"/>
    </xf>
    <xf borderId="9" fillId="7" fontId="11" numFmtId="0" xfId="0" applyAlignment="1" applyBorder="1" applyFill="1" applyFont="1">
      <alignment horizontal="left" readingOrder="0"/>
    </xf>
    <xf borderId="9" fillId="6" fontId="12" numFmtId="0" xfId="0" applyAlignment="1" applyBorder="1" applyFill="1" applyFont="1">
      <alignment horizontal="center" readingOrder="0" shrinkToFit="0" vertical="center" wrapText="0"/>
    </xf>
    <xf borderId="9" fillId="6" fontId="12" numFmtId="166" xfId="0" applyAlignment="1" applyBorder="1" applyFill="1" applyFont="1" applyNumberFormat="1">
      <alignment horizontal="center" readingOrder="0" shrinkToFit="0" vertical="center" wrapText="0"/>
    </xf>
    <xf borderId="9" fillId="6" fontId="12" numFmtId="0" xfId="0" applyAlignment="1" applyBorder="1" applyFill="1" applyFont="1">
      <alignment horizontal="center" readingOrder="0" vertical="center"/>
    </xf>
    <xf borderId="9" fillId="6" fontId="12" numFmtId="0" xfId="0" applyAlignment="1" applyBorder="1" applyFill="1" applyFont="1">
      <alignment horizontal="left" readingOrder="0" shrinkToFit="0" vertical="center" wrapText="1"/>
    </xf>
    <xf borderId="9" fillId="6" fontId="12" numFmtId="167" xfId="0" applyAlignment="1" applyBorder="1" applyFill="1" applyFont="1" applyNumberFormat="1">
      <alignment horizontal="right" readingOrder="0" shrinkToFit="0" vertical="center" wrapText="1"/>
    </xf>
    <xf borderId="9" fillId="6" fontId="12" numFmtId="0" xfId="0" applyAlignment="1" applyBorder="1" applyFill="1" applyFont="1">
      <alignment horizontal="center" readingOrder="0" shrinkToFit="0" vertical="center" wrapText="1"/>
    </xf>
    <xf borderId="9" fillId="6" fontId="12" numFmtId="0" xfId="0" applyAlignment="1" applyBorder="1" applyFill="1" applyFont="1">
      <alignment horizontal="left" readingOrder="0" shrinkToFit="0" vertical="center" wrapText="1"/>
    </xf>
    <xf borderId="9" fillId="7" fontId="12" numFmtId="0" xfId="0" applyAlignment="1" applyBorder="1" applyFill="1" applyFont="1">
      <alignment horizontal="center" readingOrder="0" shrinkToFit="0" vertical="center" wrapText="0"/>
    </xf>
    <xf borderId="9" fillId="7" fontId="12" numFmtId="166" xfId="0" applyAlignment="1" applyBorder="1" applyFill="1" applyFont="1" applyNumberFormat="1">
      <alignment horizontal="center" readingOrder="0" shrinkToFit="0" vertical="center" wrapText="0"/>
    </xf>
    <xf borderId="9" fillId="7" fontId="12" numFmtId="0" xfId="0" applyAlignment="1" applyBorder="1" applyFill="1" applyFont="1">
      <alignment horizontal="center" readingOrder="0" vertical="center"/>
    </xf>
    <xf borderId="9" fillId="7" fontId="12" numFmtId="0" xfId="0" applyAlignment="1" applyBorder="1" applyFill="1" applyFont="1">
      <alignment horizontal="left" readingOrder="0" shrinkToFit="0" vertical="center" wrapText="1"/>
    </xf>
    <xf borderId="9" fillId="7" fontId="12" numFmtId="167" xfId="0" applyAlignment="1" applyBorder="1" applyFill="1" applyFont="1" applyNumberFormat="1">
      <alignment horizontal="right" readingOrder="0" shrinkToFit="0" vertical="center" wrapText="1"/>
    </xf>
    <xf borderId="9" fillId="7" fontId="12" numFmtId="0" xfId="0" applyAlignment="1" applyBorder="1" applyFill="1" applyFont="1">
      <alignment horizontal="center" readingOrder="0" shrinkToFit="0" vertical="center" wrapText="1"/>
    </xf>
    <xf borderId="9" fillId="7" fontId="12" numFmtId="0" xfId="0" applyAlignment="1" applyBorder="1" applyFill="1" applyFont="1">
      <alignment horizontal="left" readingOrder="0" shrinkToFit="0" vertical="center" wrapText="1"/>
    </xf>
    <xf borderId="0" fillId="6" fontId="12" numFmtId="0" xfId="0" applyAlignment="1" applyFill="1" applyFont="1">
      <alignment horizontal="center" readingOrder="0" shrinkToFit="0" vertical="center" wrapText="0"/>
    </xf>
    <xf borderId="0" fillId="6" fontId="12" numFmtId="166" xfId="0" applyAlignment="1" applyFill="1" applyFont="1" applyNumberFormat="1">
      <alignment horizontal="center" readingOrder="0" shrinkToFit="0" vertical="center" wrapText="0"/>
    </xf>
    <xf borderId="0" fillId="6" fontId="12" numFmtId="0" xfId="0" applyAlignment="1" applyFill="1" applyFont="1">
      <alignment horizontal="center" readingOrder="0" vertical="center"/>
    </xf>
    <xf borderId="0" fillId="6" fontId="12" numFmtId="0" xfId="0" applyAlignment="1" applyFill="1" applyFont="1">
      <alignment horizontal="left" readingOrder="0" shrinkToFit="0" vertical="center" wrapText="1"/>
    </xf>
    <xf borderId="0" fillId="6" fontId="12" numFmtId="167" xfId="0" applyAlignment="1" applyFill="1" applyFont="1" applyNumberFormat="1">
      <alignment horizontal="right" readingOrder="0" shrinkToFit="0" vertical="center" wrapText="1"/>
    </xf>
    <xf borderId="0" fillId="6" fontId="12" numFmtId="0" xfId="0" applyAlignment="1" applyFill="1" applyFont="1">
      <alignment horizontal="center" readingOrder="0" shrinkToFit="0" vertical="center" wrapText="1"/>
    </xf>
    <xf borderId="0" fillId="7" fontId="12" numFmtId="0" xfId="0" applyAlignment="1" applyFill="1" applyFont="1">
      <alignment horizontal="center" readingOrder="0" shrinkToFit="0" vertical="center" wrapText="0"/>
    </xf>
    <xf borderId="0" fillId="7" fontId="12" numFmtId="166" xfId="0" applyAlignment="1" applyFill="1" applyFont="1" applyNumberFormat="1">
      <alignment horizontal="center" readingOrder="0" shrinkToFit="0" vertical="center" wrapText="0"/>
    </xf>
    <xf borderId="0" fillId="7" fontId="12" numFmtId="0" xfId="0" applyAlignment="1" applyFill="1" applyFont="1">
      <alignment horizontal="center" readingOrder="0" vertical="center"/>
    </xf>
    <xf borderId="0" fillId="7" fontId="12" numFmtId="0" xfId="0" applyAlignment="1" applyFill="1" applyFont="1">
      <alignment horizontal="left" readingOrder="0" shrinkToFit="0" vertical="center" wrapText="1"/>
    </xf>
    <xf borderId="0" fillId="7" fontId="12" numFmtId="167" xfId="0" applyAlignment="1" applyFill="1" applyFont="1" applyNumberFormat="1">
      <alignment horizontal="right" readingOrder="0" shrinkToFit="0" vertical="center" wrapText="1"/>
    </xf>
    <xf borderId="0" fillId="7" fontId="12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0" fillId="0" fontId="8" numFmtId="167" xfId="0" applyAlignment="1" applyFont="1" applyNumberFormat="1">
      <alignment horizontal="righ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quangbru376-blip/eventq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7.0"/>
    <col customWidth="1" min="3" max="3" width="14.5"/>
    <col customWidth="1" min="4" max="4" width="20.75"/>
    <col customWidth="1" min="5" max="5" width="41.13"/>
    <col customWidth="1" min="6" max="6" width="12.63"/>
    <col customWidth="1" min="7" max="7" width="17.63"/>
    <col customWidth="1" min="8" max="8" width="22.63"/>
    <col customWidth="1" min="9" max="9" width="16.0"/>
  </cols>
  <sheetData>
    <row r="1">
      <c r="E1" s="1"/>
    </row>
    <row r="2" ht="33.75" customHeight="1">
      <c r="B2" s="2" t="s">
        <v>0</v>
      </c>
      <c r="C2" s="3"/>
      <c r="D2" s="3"/>
      <c r="E2" s="3"/>
      <c r="F2" s="3"/>
      <c r="G2" s="3"/>
      <c r="H2" s="3"/>
    </row>
    <row r="3">
      <c r="E3" s="1"/>
    </row>
    <row r="4" ht="19.5" customHeight="1">
      <c r="B4" s="4" t="s">
        <v>1</v>
      </c>
      <c r="C4" s="5"/>
      <c r="D4" s="6" t="s">
        <v>2</v>
      </c>
      <c r="E4" s="4" t="s">
        <v>3</v>
      </c>
      <c r="F4" s="5"/>
      <c r="G4" s="4" t="s">
        <v>4</v>
      </c>
      <c r="H4" s="5"/>
    </row>
    <row r="5" ht="30.0" customHeight="1">
      <c r="B5" s="7">
        <f>COUNTA(E16:E104)</f>
        <v>20</v>
      </c>
      <c r="C5" s="8"/>
      <c r="D5" s="9">
        <f>SUM(G8:G9)</f>
        <v>17.95</v>
      </c>
      <c r="E5" s="10">
        <f>IFERROR(COUNTIF(G16:G104, "Hoàn thành") / COUNTA(E16:E104), 0)</f>
        <v>0.95</v>
      </c>
      <c r="F5" s="8"/>
      <c r="G5" s="11">
        <f>IFERROR(D5 / 2, 0)</f>
        <v>8.975</v>
      </c>
      <c r="H5" s="8"/>
    </row>
    <row r="6" ht="12.0" customHeight="1">
      <c r="E6" s="1"/>
    </row>
    <row r="7" ht="21.0" customHeight="1">
      <c r="B7" s="12" t="s">
        <v>5</v>
      </c>
      <c r="C7" s="13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13" t="s">
        <v>11</v>
      </c>
    </row>
    <row r="8" ht="19.5" customHeight="1">
      <c r="B8" s="14" t="s">
        <v>12</v>
      </c>
      <c r="C8" s="15">
        <f t="shared" ref="C8:C9" si="1">COUNTIF(D$16:D$104, B8)</f>
        <v>10</v>
      </c>
      <c r="D8" s="15">
        <f t="shared" ref="D8:D9" si="2">COUNTIFS(D$16:D$104, B8, G$16:G$104, "Hoàn thành")</f>
        <v>10</v>
      </c>
      <c r="E8" s="15">
        <f t="shared" ref="E8:E9" si="3">COUNTIFS(D$16:D$104, B8, G$16:G$104, "Đang làm")</f>
        <v>0</v>
      </c>
      <c r="F8" s="16">
        <f t="shared" ref="F8:F9" si="4">IFERROR(D8/C8, 0)</f>
        <v>1</v>
      </c>
      <c r="G8" s="17">
        <f>SUMIF(D12:D35, B8, F12:F35)</f>
        <v>9.75</v>
      </c>
      <c r="H8" s="17">
        <f t="shared" ref="H8:H9" si="5">IFERROR(G8/C8, 0)</f>
        <v>0.975</v>
      </c>
    </row>
    <row r="9" ht="19.5" customHeight="1">
      <c r="B9" s="18" t="s">
        <v>13</v>
      </c>
      <c r="C9" s="19">
        <f t="shared" si="1"/>
        <v>10</v>
      </c>
      <c r="D9" s="19">
        <f t="shared" si="2"/>
        <v>9</v>
      </c>
      <c r="E9" s="19">
        <f t="shared" si="3"/>
        <v>1</v>
      </c>
      <c r="F9" s="20">
        <f t="shared" si="4"/>
        <v>0.9</v>
      </c>
      <c r="G9" s="21">
        <f>SUMIF(D12:D35, B9,F12:F35)</f>
        <v>8.2</v>
      </c>
      <c r="H9" s="21">
        <f t="shared" si="5"/>
        <v>0.82</v>
      </c>
    </row>
    <row r="10" ht="12.0" customHeight="1">
      <c r="E10" s="1"/>
    </row>
    <row r="11" ht="22.5" customHeight="1">
      <c r="B11" s="22" t="s">
        <v>14</v>
      </c>
      <c r="C11" s="22" t="s">
        <v>15</v>
      </c>
      <c r="D11" s="23" t="s">
        <v>5</v>
      </c>
      <c r="E11" s="23" t="s">
        <v>16</v>
      </c>
      <c r="F11" s="24" t="s">
        <v>17</v>
      </c>
      <c r="G11" s="25" t="s">
        <v>18</v>
      </c>
      <c r="H11" s="26" t="s">
        <v>19</v>
      </c>
      <c r="I11" s="26" t="s">
        <v>20</v>
      </c>
    </row>
    <row r="12">
      <c r="B12" s="27" t="s">
        <v>21</v>
      </c>
      <c r="C12" s="28">
        <v>46302.0</v>
      </c>
      <c r="D12" s="29" t="s">
        <v>12</v>
      </c>
      <c r="E12" s="30" t="s">
        <v>22</v>
      </c>
      <c r="F12" s="31">
        <v>2.0</v>
      </c>
      <c r="G12" s="29" t="s">
        <v>7</v>
      </c>
      <c r="H12" s="30"/>
      <c r="I12" s="30"/>
    </row>
    <row r="13">
      <c r="B13" s="27" t="s">
        <v>21</v>
      </c>
      <c r="C13" s="28">
        <v>46302.0</v>
      </c>
      <c r="D13" s="29" t="s">
        <v>13</v>
      </c>
      <c r="E13" s="30" t="s">
        <v>23</v>
      </c>
      <c r="F13" s="31">
        <v>1.5</v>
      </c>
      <c r="G13" s="29" t="s">
        <v>7</v>
      </c>
      <c r="H13" s="30"/>
      <c r="I13" s="30"/>
    </row>
    <row r="14">
      <c r="B14" s="27" t="s">
        <v>21</v>
      </c>
      <c r="C14" s="28">
        <v>46302.0</v>
      </c>
      <c r="D14" s="29" t="s">
        <v>12</v>
      </c>
      <c r="E14" s="30" t="s">
        <v>24</v>
      </c>
      <c r="F14" s="31">
        <v>0.25</v>
      </c>
      <c r="G14" s="29" t="s">
        <v>7</v>
      </c>
      <c r="H14" s="32" t="s">
        <v>25</v>
      </c>
      <c r="I14" s="33"/>
    </row>
    <row r="15">
      <c r="B15" s="27" t="s">
        <v>21</v>
      </c>
      <c r="C15" s="28">
        <v>46302.0</v>
      </c>
      <c r="D15" s="29" t="s">
        <v>13</v>
      </c>
      <c r="E15" s="30" t="s">
        <v>26</v>
      </c>
      <c r="F15" s="31">
        <v>0.1</v>
      </c>
      <c r="G15" s="29" t="s">
        <v>7</v>
      </c>
      <c r="H15" s="34"/>
      <c r="I15" s="34"/>
    </row>
    <row r="16">
      <c r="B16" s="27" t="s">
        <v>21</v>
      </c>
      <c r="C16" s="28">
        <v>46303.0</v>
      </c>
      <c r="D16" s="29" t="s">
        <v>12</v>
      </c>
      <c r="E16" s="30" t="s">
        <v>27</v>
      </c>
      <c r="F16" s="31">
        <v>0.75</v>
      </c>
      <c r="G16" s="29" t="s">
        <v>7</v>
      </c>
      <c r="H16" s="35"/>
      <c r="I16" s="35"/>
    </row>
    <row r="17">
      <c r="B17" s="27" t="s">
        <v>21</v>
      </c>
      <c r="C17" s="28">
        <v>46303.0</v>
      </c>
      <c r="D17" s="29" t="s">
        <v>12</v>
      </c>
      <c r="E17" s="36" t="s">
        <v>28</v>
      </c>
      <c r="F17" s="31">
        <v>0.75</v>
      </c>
      <c r="G17" s="29" t="s">
        <v>7</v>
      </c>
      <c r="H17" s="35"/>
      <c r="I17" s="35"/>
    </row>
    <row r="18">
      <c r="B18" s="27" t="s">
        <v>21</v>
      </c>
      <c r="C18" s="28">
        <v>46304.0</v>
      </c>
      <c r="D18" s="29" t="s">
        <v>12</v>
      </c>
      <c r="E18" s="30" t="s">
        <v>29</v>
      </c>
      <c r="F18" s="31">
        <v>0.5</v>
      </c>
      <c r="G18" s="29" t="s">
        <v>7</v>
      </c>
      <c r="H18" s="37"/>
      <c r="I18" s="37"/>
    </row>
    <row r="19">
      <c r="B19" s="27" t="s">
        <v>21</v>
      </c>
      <c r="C19" s="28">
        <v>46304.0</v>
      </c>
      <c r="D19" s="29" t="s">
        <v>12</v>
      </c>
      <c r="E19" s="30" t="s">
        <v>30</v>
      </c>
      <c r="F19" s="31">
        <v>0.5</v>
      </c>
      <c r="G19" s="29" t="s">
        <v>7</v>
      </c>
      <c r="H19" s="35"/>
      <c r="I19" s="35"/>
    </row>
    <row r="20">
      <c r="B20" s="27" t="s">
        <v>21</v>
      </c>
      <c r="C20" s="28">
        <v>46304.0</v>
      </c>
      <c r="D20" s="29" t="s">
        <v>12</v>
      </c>
      <c r="E20" s="36" t="s">
        <v>31</v>
      </c>
      <c r="F20" s="31">
        <v>0.75</v>
      </c>
      <c r="G20" s="29" t="s">
        <v>7</v>
      </c>
      <c r="H20" s="30" t="s">
        <v>32</v>
      </c>
      <c r="I20" s="30"/>
    </row>
    <row r="21" ht="21.0" customHeight="1">
      <c r="B21" s="27" t="s">
        <v>21</v>
      </c>
      <c r="C21" s="28">
        <v>46305.0</v>
      </c>
      <c r="D21" s="29" t="s">
        <v>12</v>
      </c>
      <c r="E21" s="30" t="s">
        <v>33</v>
      </c>
      <c r="F21" s="31">
        <v>1.0</v>
      </c>
      <c r="G21" s="29" t="s">
        <v>7</v>
      </c>
      <c r="H21" s="38"/>
      <c r="I21" s="38"/>
    </row>
    <row r="22" ht="21.0" customHeight="1">
      <c r="B22" s="27"/>
      <c r="C22" s="28">
        <v>46305.0</v>
      </c>
      <c r="D22" s="29" t="s">
        <v>13</v>
      </c>
      <c r="E22" s="30" t="s">
        <v>33</v>
      </c>
      <c r="F22" s="31">
        <v>1.0</v>
      </c>
      <c r="G22" s="29" t="s">
        <v>7</v>
      </c>
      <c r="H22" s="39"/>
      <c r="I22" s="39"/>
    </row>
    <row r="23">
      <c r="B23" s="27" t="s">
        <v>21</v>
      </c>
      <c r="C23" s="28">
        <v>46305.0</v>
      </c>
      <c r="D23" s="29" t="s">
        <v>12</v>
      </c>
      <c r="E23" s="30" t="s">
        <v>34</v>
      </c>
      <c r="F23" s="31">
        <v>0.5</v>
      </c>
      <c r="G23" s="29" t="s">
        <v>7</v>
      </c>
      <c r="H23" s="30" t="s">
        <v>35</v>
      </c>
      <c r="I23" s="30"/>
    </row>
    <row r="24">
      <c r="B24" s="27" t="s">
        <v>21</v>
      </c>
      <c r="C24" s="28">
        <v>46305.0</v>
      </c>
      <c r="D24" s="29" t="s">
        <v>12</v>
      </c>
      <c r="E24" s="30" t="s">
        <v>36</v>
      </c>
      <c r="F24" s="31">
        <v>0.25</v>
      </c>
      <c r="G24" s="29" t="s">
        <v>7</v>
      </c>
      <c r="H24" s="30" t="s">
        <v>37</v>
      </c>
      <c r="I24" s="30"/>
    </row>
    <row r="25" ht="21.0" customHeight="1">
      <c r="B25" s="27" t="s">
        <v>21</v>
      </c>
      <c r="C25" s="28">
        <v>46305.0</v>
      </c>
      <c r="D25" s="29" t="s">
        <v>12</v>
      </c>
      <c r="E25" s="30" t="s">
        <v>38</v>
      </c>
      <c r="F25" s="31">
        <v>1.0</v>
      </c>
      <c r="G25" s="29" t="s">
        <v>7</v>
      </c>
      <c r="H25" s="35"/>
      <c r="I25" s="35"/>
    </row>
    <row r="26" ht="30.75" customHeight="1">
      <c r="B26" s="27" t="s">
        <v>21</v>
      </c>
      <c r="C26" s="40">
        <v>46304.0</v>
      </c>
      <c r="D26" s="29" t="s">
        <v>13</v>
      </c>
      <c r="E26" s="41" t="s">
        <v>39</v>
      </c>
      <c r="F26" s="31" t="s">
        <v>40</v>
      </c>
      <c r="G26" s="29" t="s">
        <v>7</v>
      </c>
      <c r="H26" s="41" t="s">
        <v>41</v>
      </c>
      <c r="I26" s="41"/>
    </row>
    <row r="27">
      <c r="B27" s="27" t="s">
        <v>21</v>
      </c>
      <c r="C27" s="40">
        <v>46304.0</v>
      </c>
      <c r="D27" s="29" t="s">
        <v>13</v>
      </c>
      <c r="E27" s="41" t="s">
        <v>42</v>
      </c>
      <c r="F27" s="31" t="s">
        <v>40</v>
      </c>
      <c r="G27" s="29" t="s">
        <v>7</v>
      </c>
      <c r="H27" s="41" t="s">
        <v>41</v>
      </c>
      <c r="I27" s="41"/>
    </row>
    <row r="28">
      <c r="B28" s="27" t="s">
        <v>21</v>
      </c>
      <c r="C28" s="40">
        <v>46304.0</v>
      </c>
      <c r="D28" s="29" t="s">
        <v>13</v>
      </c>
      <c r="E28" s="41" t="s">
        <v>43</v>
      </c>
      <c r="F28" s="31">
        <v>0.8</v>
      </c>
      <c r="G28" s="29" t="s">
        <v>7</v>
      </c>
      <c r="H28" s="41" t="s">
        <v>44</v>
      </c>
      <c r="I28" s="41"/>
    </row>
    <row r="29">
      <c r="B29" s="27" t="s">
        <v>21</v>
      </c>
      <c r="C29" s="40">
        <v>46304.0</v>
      </c>
      <c r="D29" s="29" t="s">
        <v>13</v>
      </c>
      <c r="E29" s="41" t="s">
        <v>45</v>
      </c>
      <c r="F29" s="31">
        <v>0.3</v>
      </c>
      <c r="G29" s="29" t="s">
        <v>7</v>
      </c>
      <c r="H29" s="41" t="s">
        <v>46</v>
      </c>
      <c r="I29" s="41"/>
    </row>
    <row r="30">
      <c r="B30" s="27" t="s">
        <v>21</v>
      </c>
      <c r="C30" s="40">
        <v>46305.0</v>
      </c>
      <c r="D30" s="29" t="s">
        <v>13</v>
      </c>
      <c r="E30" s="41" t="s">
        <v>47</v>
      </c>
      <c r="F30" s="31">
        <v>1.0</v>
      </c>
      <c r="G30" s="29" t="s">
        <v>7</v>
      </c>
      <c r="H30" s="41" t="s">
        <v>48</v>
      </c>
      <c r="I30" s="41"/>
    </row>
    <row r="31">
      <c r="B31" s="27" t="s">
        <v>21</v>
      </c>
      <c r="C31" s="40">
        <v>46305.0</v>
      </c>
      <c r="D31" s="29" t="s">
        <v>13</v>
      </c>
      <c r="E31" s="41" t="s">
        <v>49</v>
      </c>
      <c r="F31" s="31">
        <v>0.5</v>
      </c>
      <c r="G31" s="29" t="s">
        <v>7</v>
      </c>
      <c r="H31" s="41" t="s">
        <v>50</v>
      </c>
      <c r="I31" s="41"/>
    </row>
    <row r="32">
      <c r="B32" s="27" t="s">
        <v>21</v>
      </c>
      <c r="C32" s="40">
        <v>46305.0</v>
      </c>
      <c r="D32" s="29" t="s">
        <v>13</v>
      </c>
      <c r="E32" s="41" t="s">
        <v>51</v>
      </c>
      <c r="F32" s="31">
        <v>1.0</v>
      </c>
      <c r="G32" s="29" t="s">
        <v>7</v>
      </c>
      <c r="H32" s="41" t="s">
        <v>52</v>
      </c>
      <c r="I32" s="41"/>
    </row>
    <row r="33">
      <c r="B33" s="42" t="s">
        <v>21</v>
      </c>
      <c r="C33" s="40">
        <v>46305.0</v>
      </c>
      <c r="D33" s="43" t="s">
        <v>13</v>
      </c>
      <c r="E33" s="41" t="s">
        <v>53</v>
      </c>
      <c r="F33" s="44">
        <v>1.0</v>
      </c>
      <c r="G33" s="45" t="s">
        <v>54</v>
      </c>
      <c r="H33" s="46"/>
      <c r="I33" s="46"/>
    </row>
    <row r="34">
      <c r="B34" s="47" t="s">
        <v>21</v>
      </c>
      <c r="C34" s="48">
        <v>46306.0</v>
      </c>
      <c r="D34" s="49" t="s">
        <v>12</v>
      </c>
      <c r="E34" s="50" t="s">
        <v>55</v>
      </c>
      <c r="F34" s="51">
        <v>1.5</v>
      </c>
      <c r="G34" s="52" t="s">
        <v>7</v>
      </c>
      <c r="H34" s="53"/>
      <c r="I34" s="53"/>
    </row>
    <row r="35">
      <c r="B35" s="54" t="s">
        <v>21</v>
      </c>
      <c r="C35" s="55">
        <v>46306.0</v>
      </c>
      <c r="D35" s="56" t="s">
        <v>13</v>
      </c>
      <c r="E35" s="57" t="s">
        <v>55</v>
      </c>
      <c r="F35" s="58">
        <v>1.0</v>
      </c>
      <c r="G35" s="59" t="s">
        <v>7</v>
      </c>
      <c r="H35" s="60"/>
      <c r="I35" s="60"/>
    </row>
    <row r="36">
      <c r="B36" s="61"/>
      <c r="C36" s="62"/>
      <c r="D36" s="63"/>
      <c r="E36" s="64"/>
      <c r="F36" s="65"/>
      <c r="G36" s="66"/>
      <c r="H36" s="64"/>
      <c r="I36" s="64"/>
    </row>
    <row r="37">
      <c r="B37" s="67"/>
      <c r="C37" s="68"/>
      <c r="D37" s="69"/>
      <c r="E37" s="70"/>
      <c r="F37" s="71"/>
      <c r="G37" s="72"/>
      <c r="H37" s="70"/>
      <c r="I37" s="70"/>
    </row>
    <row r="38">
      <c r="B38" s="73"/>
      <c r="C38" s="74"/>
      <c r="D38" s="75"/>
      <c r="E38" s="76"/>
      <c r="F38" s="77"/>
      <c r="G38" s="73"/>
      <c r="H38" s="76"/>
    </row>
    <row r="39">
      <c r="B39" s="73"/>
      <c r="C39" s="74"/>
      <c r="D39" s="75"/>
      <c r="E39" s="76"/>
      <c r="F39" s="77"/>
      <c r="G39" s="73"/>
      <c r="H39" s="76"/>
    </row>
    <row r="40">
      <c r="B40" s="73"/>
      <c r="C40" s="74"/>
      <c r="D40" s="75"/>
      <c r="E40" s="76"/>
      <c r="F40" s="77"/>
      <c r="G40" s="73"/>
      <c r="H40" s="76"/>
    </row>
    <row r="41">
      <c r="B41" s="73"/>
      <c r="C41" s="74"/>
      <c r="D41" s="75"/>
      <c r="E41" s="76"/>
      <c r="F41" s="77"/>
      <c r="G41" s="73"/>
      <c r="H41" s="76"/>
    </row>
    <row r="42">
      <c r="B42" s="73"/>
      <c r="C42" s="74"/>
      <c r="D42" s="75"/>
      <c r="E42" s="76"/>
      <c r="F42" s="77"/>
      <c r="G42" s="73"/>
      <c r="H42" s="76"/>
    </row>
    <row r="43">
      <c r="B43" s="73"/>
      <c r="C43" s="74"/>
      <c r="D43" s="75"/>
      <c r="E43" s="76"/>
      <c r="F43" s="77"/>
      <c r="G43" s="73"/>
      <c r="H43" s="76"/>
    </row>
    <row r="44">
      <c r="B44" s="73"/>
      <c r="C44" s="74"/>
      <c r="D44" s="75"/>
      <c r="E44" s="76"/>
      <c r="F44" s="77"/>
      <c r="G44" s="73"/>
      <c r="H44" s="76"/>
    </row>
    <row r="45">
      <c r="B45" s="73"/>
      <c r="C45" s="74"/>
      <c r="D45" s="75"/>
      <c r="E45" s="76"/>
      <c r="F45" s="77"/>
      <c r="G45" s="73"/>
      <c r="H45" s="76"/>
    </row>
    <row r="46">
      <c r="B46" s="73"/>
      <c r="C46" s="74"/>
      <c r="D46" s="75"/>
      <c r="E46" s="76"/>
      <c r="F46" s="77"/>
      <c r="G46" s="73"/>
      <c r="H46" s="76"/>
    </row>
    <row r="47">
      <c r="B47" s="73"/>
      <c r="C47" s="74"/>
      <c r="D47" s="75"/>
      <c r="E47" s="76"/>
      <c r="F47" s="77"/>
      <c r="G47" s="73"/>
      <c r="H47" s="76"/>
    </row>
    <row r="48">
      <c r="B48" s="73"/>
      <c r="C48" s="74"/>
      <c r="D48" s="75"/>
      <c r="E48" s="76"/>
      <c r="F48" s="77"/>
      <c r="G48" s="73"/>
      <c r="H48" s="76"/>
    </row>
    <row r="49">
      <c r="B49" s="73"/>
      <c r="C49" s="74"/>
      <c r="D49" s="75"/>
      <c r="E49" s="76"/>
      <c r="F49" s="77"/>
      <c r="G49" s="73"/>
      <c r="H49" s="76"/>
    </row>
    <row r="50">
      <c r="B50" s="73"/>
      <c r="C50" s="74"/>
      <c r="D50" s="75"/>
      <c r="E50" s="76"/>
      <c r="F50" s="77"/>
      <c r="G50" s="73"/>
      <c r="H50" s="76"/>
    </row>
    <row r="51">
      <c r="B51" s="73"/>
      <c r="C51" s="74"/>
      <c r="D51" s="75"/>
      <c r="E51" s="76"/>
      <c r="F51" s="77"/>
      <c r="G51" s="73"/>
      <c r="H51" s="76"/>
    </row>
    <row r="52">
      <c r="B52" s="73"/>
      <c r="C52" s="74"/>
      <c r="D52" s="75"/>
      <c r="E52" s="76"/>
      <c r="F52" s="77"/>
      <c r="G52" s="73"/>
      <c r="H52" s="76"/>
    </row>
    <row r="53">
      <c r="B53" s="73"/>
      <c r="C53" s="74"/>
      <c r="D53" s="75"/>
      <c r="E53" s="76"/>
      <c r="F53" s="77"/>
      <c r="G53" s="73"/>
      <c r="H53" s="76"/>
    </row>
    <row r="54">
      <c r="B54" s="73"/>
      <c r="C54" s="74"/>
      <c r="D54" s="75"/>
      <c r="E54" s="76"/>
      <c r="F54" s="77"/>
      <c r="G54" s="73"/>
      <c r="H54" s="76"/>
    </row>
    <row r="55">
      <c r="B55" s="73"/>
      <c r="C55" s="74"/>
      <c r="D55" s="75"/>
      <c r="E55" s="76"/>
      <c r="F55" s="77"/>
      <c r="G55" s="73"/>
      <c r="H55" s="76"/>
    </row>
    <row r="56">
      <c r="B56" s="73"/>
      <c r="C56" s="74"/>
      <c r="D56" s="75"/>
      <c r="E56" s="76"/>
      <c r="F56" s="77"/>
      <c r="G56" s="73"/>
      <c r="H56" s="76"/>
    </row>
    <row r="57">
      <c r="B57" s="73"/>
      <c r="C57" s="74"/>
      <c r="D57" s="75"/>
      <c r="E57" s="76"/>
      <c r="F57" s="77"/>
      <c r="G57" s="73"/>
      <c r="H57" s="76"/>
    </row>
    <row r="58">
      <c r="B58" s="73"/>
      <c r="C58" s="74"/>
      <c r="D58" s="75"/>
      <c r="E58" s="76"/>
      <c r="F58" s="77"/>
      <c r="G58" s="73"/>
      <c r="H58" s="76"/>
    </row>
    <row r="59">
      <c r="B59" s="73"/>
      <c r="C59" s="74"/>
      <c r="D59" s="75"/>
      <c r="E59" s="76"/>
      <c r="F59" s="77"/>
      <c r="G59" s="73"/>
      <c r="H59" s="76"/>
    </row>
    <row r="60">
      <c r="B60" s="73"/>
      <c r="C60" s="74"/>
      <c r="D60" s="75"/>
      <c r="E60" s="76"/>
      <c r="F60" s="77"/>
      <c r="G60" s="73"/>
      <c r="H60" s="76"/>
    </row>
    <row r="61">
      <c r="B61" s="73"/>
      <c r="C61" s="74"/>
      <c r="D61" s="75"/>
      <c r="E61" s="76"/>
      <c r="F61" s="77"/>
      <c r="G61" s="73"/>
      <c r="H61" s="76"/>
    </row>
    <row r="62">
      <c r="B62" s="73"/>
      <c r="C62" s="74"/>
      <c r="D62" s="75"/>
      <c r="E62" s="76"/>
      <c r="F62" s="77"/>
      <c r="G62" s="73"/>
      <c r="H62" s="76"/>
    </row>
    <row r="63">
      <c r="B63" s="73"/>
      <c r="C63" s="74"/>
      <c r="D63" s="75"/>
      <c r="E63" s="76"/>
      <c r="F63" s="77"/>
      <c r="G63" s="73"/>
      <c r="H63" s="76"/>
    </row>
    <row r="64">
      <c r="B64" s="73"/>
      <c r="C64" s="74"/>
      <c r="D64" s="75"/>
      <c r="E64" s="76"/>
      <c r="F64" s="77"/>
      <c r="G64" s="73"/>
      <c r="H64" s="76"/>
    </row>
    <row r="65">
      <c r="B65" s="73"/>
      <c r="C65" s="74"/>
      <c r="D65" s="75"/>
      <c r="E65" s="76"/>
      <c r="F65" s="77"/>
      <c r="G65" s="73"/>
      <c r="H65" s="76"/>
    </row>
    <row r="66">
      <c r="B66" s="73"/>
      <c r="C66" s="74"/>
      <c r="D66" s="75"/>
      <c r="E66" s="76"/>
      <c r="F66" s="77"/>
      <c r="G66" s="73"/>
      <c r="H66" s="76"/>
    </row>
    <row r="67">
      <c r="B67" s="73"/>
      <c r="C67" s="74"/>
      <c r="D67" s="75"/>
      <c r="E67" s="76"/>
      <c r="F67" s="77"/>
      <c r="G67" s="73"/>
      <c r="H67" s="76"/>
    </row>
    <row r="68">
      <c r="B68" s="73"/>
      <c r="C68" s="74"/>
      <c r="D68" s="75"/>
      <c r="E68" s="76"/>
      <c r="F68" s="77"/>
      <c r="G68" s="73"/>
      <c r="H68" s="76"/>
    </row>
    <row r="69">
      <c r="B69" s="73"/>
      <c r="C69" s="74"/>
      <c r="D69" s="75"/>
      <c r="E69" s="76"/>
      <c r="F69" s="77"/>
      <c r="G69" s="73"/>
      <c r="H69" s="76"/>
    </row>
    <row r="70">
      <c r="B70" s="73"/>
      <c r="C70" s="74"/>
      <c r="D70" s="75"/>
      <c r="E70" s="76"/>
      <c r="F70" s="77"/>
      <c r="G70" s="73"/>
      <c r="H70" s="76"/>
    </row>
    <row r="71">
      <c r="B71" s="73"/>
      <c r="C71" s="74"/>
      <c r="D71" s="75"/>
      <c r="E71" s="76"/>
      <c r="F71" s="77"/>
      <c r="G71" s="73"/>
      <c r="H71" s="76"/>
    </row>
    <row r="72">
      <c r="B72" s="73"/>
      <c r="C72" s="74"/>
      <c r="D72" s="75"/>
      <c r="E72" s="76"/>
      <c r="F72" s="77"/>
      <c r="G72" s="73"/>
      <c r="H72" s="76"/>
    </row>
    <row r="73">
      <c r="B73" s="73"/>
      <c r="C73" s="74"/>
      <c r="D73" s="75"/>
      <c r="E73" s="76"/>
      <c r="F73" s="77"/>
      <c r="G73" s="73"/>
      <c r="H73" s="76"/>
    </row>
    <row r="74">
      <c r="B74" s="73"/>
      <c r="C74" s="74"/>
      <c r="D74" s="75"/>
      <c r="E74" s="76"/>
      <c r="F74" s="77"/>
      <c r="G74" s="73"/>
      <c r="H74" s="76"/>
    </row>
    <row r="75">
      <c r="B75" s="73"/>
      <c r="C75" s="74"/>
      <c r="D75" s="75"/>
      <c r="E75" s="76"/>
      <c r="F75" s="77"/>
      <c r="G75" s="73"/>
      <c r="H75" s="76"/>
    </row>
    <row r="76">
      <c r="B76" s="73"/>
      <c r="C76" s="74"/>
      <c r="D76" s="75"/>
      <c r="E76" s="76"/>
      <c r="F76" s="77"/>
      <c r="G76" s="73"/>
      <c r="H76" s="76"/>
    </row>
    <row r="77">
      <c r="B77" s="73"/>
      <c r="C77" s="74"/>
      <c r="D77" s="75"/>
      <c r="E77" s="76"/>
      <c r="F77" s="77"/>
      <c r="G77" s="73"/>
      <c r="H77" s="76"/>
    </row>
    <row r="78">
      <c r="B78" s="73"/>
      <c r="C78" s="74"/>
      <c r="D78" s="75"/>
      <c r="E78" s="76"/>
      <c r="F78" s="77"/>
      <c r="G78" s="73"/>
      <c r="H78" s="76"/>
    </row>
    <row r="79">
      <c r="B79" s="73"/>
      <c r="C79" s="74"/>
      <c r="D79" s="75"/>
      <c r="E79" s="76"/>
      <c r="F79" s="77"/>
      <c r="G79" s="73"/>
      <c r="H79" s="76"/>
    </row>
    <row r="80">
      <c r="B80" s="73"/>
      <c r="C80" s="74"/>
      <c r="D80" s="75"/>
      <c r="E80" s="76"/>
      <c r="F80" s="77"/>
      <c r="G80" s="73"/>
      <c r="H80" s="76"/>
    </row>
    <row r="81">
      <c r="B81" s="73"/>
      <c r="C81" s="74"/>
      <c r="D81" s="75"/>
      <c r="E81" s="76"/>
      <c r="F81" s="77"/>
      <c r="G81" s="73"/>
      <c r="H81" s="76"/>
    </row>
    <row r="82">
      <c r="B82" s="73"/>
      <c r="C82" s="74"/>
      <c r="D82" s="75"/>
      <c r="E82" s="76"/>
      <c r="F82" s="77"/>
      <c r="G82" s="73"/>
      <c r="H82" s="76"/>
    </row>
    <row r="83">
      <c r="B83" s="73"/>
      <c r="C83" s="74"/>
      <c r="D83" s="75"/>
      <c r="E83" s="76"/>
      <c r="F83" s="77"/>
      <c r="G83" s="73"/>
      <c r="H83" s="76"/>
    </row>
    <row r="84">
      <c r="B84" s="73"/>
      <c r="C84" s="74"/>
      <c r="D84" s="75"/>
      <c r="E84" s="76"/>
      <c r="F84" s="77"/>
      <c r="G84" s="73"/>
      <c r="H84" s="76"/>
    </row>
    <row r="85">
      <c r="B85" s="73"/>
      <c r="C85" s="74"/>
      <c r="D85" s="75"/>
      <c r="E85" s="76"/>
      <c r="F85" s="77"/>
      <c r="G85" s="73"/>
      <c r="H85" s="76"/>
    </row>
    <row r="86">
      <c r="B86" s="73"/>
      <c r="C86" s="74"/>
      <c r="D86" s="75"/>
      <c r="E86" s="76"/>
      <c r="F86" s="77"/>
      <c r="G86" s="73"/>
      <c r="H86" s="76"/>
    </row>
    <row r="87">
      <c r="B87" s="73"/>
      <c r="C87" s="74"/>
      <c r="D87" s="75"/>
      <c r="E87" s="76"/>
      <c r="F87" s="77"/>
      <c r="G87" s="73"/>
      <c r="H87" s="76"/>
    </row>
    <row r="88">
      <c r="B88" s="73"/>
      <c r="C88" s="74"/>
      <c r="D88" s="75"/>
      <c r="E88" s="76"/>
      <c r="F88" s="77"/>
      <c r="G88" s="73"/>
      <c r="H88" s="76"/>
    </row>
    <row r="89">
      <c r="B89" s="73"/>
      <c r="C89" s="74"/>
      <c r="D89" s="75"/>
      <c r="E89" s="76"/>
      <c r="F89" s="77"/>
      <c r="G89" s="73"/>
      <c r="H89" s="76"/>
    </row>
    <row r="90">
      <c r="B90" s="73"/>
      <c r="C90" s="74"/>
      <c r="D90" s="75"/>
      <c r="E90" s="76"/>
      <c r="F90" s="77"/>
      <c r="G90" s="73"/>
      <c r="H90" s="76"/>
    </row>
    <row r="91">
      <c r="B91" s="73"/>
      <c r="C91" s="74"/>
      <c r="D91" s="75"/>
      <c r="E91" s="76"/>
      <c r="F91" s="77"/>
      <c r="G91" s="73"/>
      <c r="H91" s="76"/>
    </row>
    <row r="92">
      <c r="B92" s="73"/>
      <c r="C92" s="74"/>
      <c r="D92" s="75"/>
      <c r="E92" s="76"/>
      <c r="F92" s="77"/>
      <c r="G92" s="73"/>
      <c r="H92" s="76"/>
    </row>
    <row r="93">
      <c r="B93" s="73"/>
      <c r="C93" s="74"/>
      <c r="D93" s="75"/>
      <c r="E93" s="76"/>
      <c r="F93" s="77"/>
      <c r="G93" s="73"/>
      <c r="H93" s="76"/>
    </row>
    <row r="94">
      <c r="B94" s="73"/>
      <c r="C94" s="74"/>
      <c r="D94" s="75"/>
      <c r="E94" s="76"/>
      <c r="F94" s="77"/>
      <c r="G94" s="73"/>
      <c r="H94" s="76"/>
    </row>
    <row r="95">
      <c r="B95" s="73"/>
      <c r="C95" s="74"/>
      <c r="D95" s="75"/>
      <c r="E95" s="76"/>
      <c r="F95" s="77"/>
      <c r="G95" s="73"/>
      <c r="H95" s="76"/>
    </row>
    <row r="96">
      <c r="B96" s="73"/>
      <c r="C96" s="74"/>
      <c r="D96" s="75"/>
      <c r="E96" s="76"/>
      <c r="F96" s="77"/>
      <c r="G96" s="73"/>
      <c r="H96" s="76"/>
    </row>
    <row r="97">
      <c r="B97" s="73"/>
      <c r="C97" s="74"/>
      <c r="D97" s="75"/>
      <c r="E97" s="76"/>
      <c r="F97" s="77"/>
      <c r="G97" s="73"/>
      <c r="H97" s="76"/>
    </row>
    <row r="98">
      <c r="B98" s="73"/>
      <c r="C98" s="74"/>
      <c r="D98" s="75"/>
      <c r="E98" s="76"/>
      <c r="F98" s="77"/>
      <c r="G98" s="73"/>
      <c r="H98" s="76"/>
    </row>
    <row r="99">
      <c r="B99" s="73"/>
      <c r="C99" s="74"/>
      <c r="D99" s="75"/>
      <c r="E99" s="76"/>
      <c r="F99" s="77"/>
      <c r="G99" s="73"/>
      <c r="H99" s="76"/>
    </row>
    <row r="100">
      <c r="B100" s="73"/>
      <c r="C100" s="74"/>
      <c r="D100" s="75"/>
      <c r="E100" s="76"/>
      <c r="F100" s="77"/>
      <c r="G100" s="73"/>
      <c r="H100" s="76"/>
    </row>
    <row r="101">
      <c r="B101" s="73"/>
      <c r="C101" s="74"/>
      <c r="D101" s="75"/>
      <c r="E101" s="76"/>
      <c r="F101" s="77"/>
      <c r="G101" s="73"/>
      <c r="H101" s="76"/>
    </row>
    <row r="102">
      <c r="B102" s="73"/>
      <c r="C102" s="74"/>
      <c r="D102" s="75"/>
      <c r="E102" s="76"/>
      <c r="F102" s="77"/>
      <c r="G102" s="73"/>
      <c r="H102" s="76"/>
    </row>
    <row r="103">
      <c r="B103" s="73"/>
      <c r="C103" s="74"/>
      <c r="D103" s="75"/>
      <c r="E103" s="76"/>
      <c r="F103" s="77"/>
      <c r="G103" s="73"/>
      <c r="H103" s="76"/>
    </row>
    <row r="104">
      <c r="B104" s="73"/>
      <c r="C104" s="74"/>
      <c r="D104" s="75"/>
      <c r="E104" s="76"/>
      <c r="F104" s="77"/>
      <c r="G104" s="73"/>
      <c r="H104" s="76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  <row r="1001">
      <c r="E1001" s="1"/>
    </row>
    <row r="1002">
      <c r="E1002" s="1"/>
    </row>
    <row r="1003">
      <c r="E1003" s="1"/>
    </row>
    <row r="1004">
      <c r="E1004" s="1"/>
    </row>
  </sheetData>
  <mergeCells count="11">
    <mergeCell ref="H14:H15"/>
    <mergeCell ref="H21:H22"/>
    <mergeCell ref="I14:I15"/>
    <mergeCell ref="I21:I22"/>
    <mergeCell ref="B2:H2"/>
    <mergeCell ref="B4:C4"/>
    <mergeCell ref="E4:F4"/>
    <mergeCell ref="G4:H4"/>
    <mergeCell ref="B5:C5"/>
    <mergeCell ref="E5:F5"/>
    <mergeCell ref="G5:H5"/>
  </mergeCells>
  <dataValidations>
    <dataValidation type="list" allowBlank="1" sqref="G12:G104">
      <formula1>"Hoàn thành,Đang làm,Chưa bắt đầu,Cần hỗ trợ"</formula1>
    </dataValidation>
    <dataValidation type="list" allowBlank="1" sqref="B12:B104">
      <formula1>"Tuần 1,Tuần 2,Tuần 3,Tuần 4"</formula1>
    </dataValidation>
    <dataValidation type="list" allowBlank="1" sqref="D12:D104">
      <formula1>"Đặng Duy Quang,Trương Hoàng Long"</formula1>
    </dataValidation>
  </dataValidations>
  <hyperlinks>
    <hyperlink r:id="rId1" ref="H14"/>
  </hyperlinks>
  <drawing r:id="rId2"/>
</worksheet>
</file>